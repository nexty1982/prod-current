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6A8F7670-CF04-4159-B50C-A68FBEDD7A26}" xr6:coauthVersionLast="47" xr6:coauthVersionMax="47" xr10:uidLastSave="{00000000-0000-0000-0000-000000000000}"/>
  <bookViews>
    <workbookView xWindow="-110" yWindow="-14510" windowWidth="51420" windowHeight="13900" activeTab="2" xr2:uid="{BC4FD819-575C-445F-B7F9-4657B455FE0B}"/>
  </bookViews>
  <sheets>
    <sheet name="Sheet1" sheetId="1" r:id="rId1"/>
    <sheet name="Sheet5" sheetId="5" r:id="rId2"/>
    <sheet name="Sheet6" sheetId="6" r:id="rId3"/>
    <sheet name="Sheet3" sheetId="3" r:id="rId4"/>
    <sheet name="Sheet2" sheetId="2" r:id="rId5"/>
    <sheet name="Sheet4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4" l="1" a="1"/>
  <c r="A11" i="4"/>
  <c r="C29" i="2"/>
  <c r="B11" i="2" a="1"/>
  <c r="B11" i="2" s="1"/>
  <c r="A9" i="1" a="1"/>
  <c r="A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<sst xmlns="http://schemas.openxmlformats.org/spreadsheetml/2006/main" count="596" uniqueCount="299">
  <si>
    <t>Gurtz poдHB:</t>
  </si>
  <si>
    <t>Mtcaus</t>
  </si>
  <si>
    <t>WHXCA.</t>
  </si>
  <si>
    <t>HAGHL</t>
  </si>
  <si>
    <t>Myжеcкa</t>
  </si>
  <si>
    <t>"Prou</t>
  </si>
  <si>
    <t>MALE</t>
  </si>
  <si>
    <t>RINCKA</t>
  </si>
  <si>
    <t>-DYSKOD</t>
  </si>
  <si>
    <t>DVOU</t>
  </si>
  <si>
    <t>NIA.</t>
  </si>
  <si>
    <t>KOELPE-</t>
  </si>
  <si>
    <t>HĨA.</t>
  </si>
  <si>
    <t>NUMBER</t>
  </si>
  <si>
    <t>DATES</t>
  </si>
  <si>
    <t>FEMALE</t>
  </si>
  <si>
    <t>-</t>
  </si>
  <si>
    <t>BAPTISM</t>
  </si>
  <si>
    <t>BIRTH</t>
  </si>
  <si>
    <t>NAME OF CHILD</t>
  </si>
  <si>
    <t>CITY OF BIRTH</t>
  </si>
  <si>
    <t>June July Catherine</t>
  </si>
  <si>
    <t>Somerville</t>
  </si>
  <si>
    <t>BIRTHS</t>
  </si>
  <si>
    <t>STPHNECKS EHHH H</t>
  </si>
  <si>
    <t>YEAR 86</t>
  </si>
  <si>
    <t>[9JZ, чACTL_NSPERM, W POДEXCA.</t>
  </si>
  <si>
    <t>Zbanīt, uma, wrukerio n. tamnala PодÍTMÉň, и KakoƑ</t>
  </si>
  <si>
    <t>Bkponenock;44HiA.</t>
  </si>
  <si>
    <t>FATHER'S FULL NAME. MOTHER'S MAIDEN NAME</t>
  </si>
  <si>
    <t>Peter Goubatuk</t>
  </si>
  <si>
    <t>Susan Binkowski</t>
  </si>
  <si>
    <t>3BAHII, HMLA, OTYICTKO. H $AMIMÍA</t>
  </si>
  <si>
    <t>ROCNDÍGAHHKORZ.</t>
  </si>
  <si>
    <t>FULL NAMES OF SPONSORS</t>
  </si>
  <si>
    <t>BTO COREPшAAB TAHHCTEO</t>
  </si>
  <si>
    <t>KOILUEHLA..</t>
  </si>
  <si>
    <t>Dariz</t>
  </si>
  <si>
    <t>Charles Dunzenko</t>
  </si>
  <si>
    <t>Parsells</t>
  </si>
  <si>
    <t>(Orthodox)</t>
  </si>
  <si>
    <t>Fr. Jas</t>
  </si>
  <si>
    <t>PRIEST'S NAME</t>
  </si>
  <si>
    <t>Parsels</t>
  </si>
  <si>
    <t>id</t>
  </si>
  <si>
    <t>first_name</t>
  </si>
  <si>
    <t>last_name</t>
  </si>
  <si>
    <t>birth_date</t>
  </si>
  <si>
    <t>reception_date</t>
  </si>
  <si>
    <t>birthplace</t>
  </si>
  <si>
    <t>entry_type</t>
  </si>
  <si>
    <t>sponsors</t>
  </si>
  <si>
    <t>parents</t>
  </si>
  <si>
    <t>clergy</t>
  </si>
  <si>
    <t>Catherine</t>
  </si>
  <si>
    <t>Gorbatuk</t>
  </si>
  <si>
    <t>Somerville, NJ</t>
  </si>
  <si>
    <t>Baptism</t>
  </si>
  <si>
    <t>Charles Dunaenko, Daria Parsells</t>
  </si>
  <si>
    <t>Rev. James Parsells</t>
  </si>
  <si>
    <t>Prou</t>
  </si>
  <si>
    <t>Peter Gorbatuk, Sue Binkowski</t>
  </si>
  <si>
    <t>Peter Gorbatuk, Susan Binkowski</t>
  </si>
  <si>
    <t>Fr. James</t>
  </si>
  <si>
    <t>PICTPHчECKS CHATH 1980</t>
  </si>
  <si>
    <t>H</t>
  </si>
  <si>
    <t>1922, 4ACTL NOPERA, W PORNHUHXCA.</t>
  </si>
  <si>
    <t>Gurrs poдHB:</t>
  </si>
  <si>
    <t>MgжKecka</t>
  </si>
  <si>
    <t>PVOU</t>
  </si>
  <si>
    <t>REHCKA</t>
  </si>
  <si>
    <t>MkCauz</t>
  </si>
  <si>
    <t>H AFHL</t>
  </si>
  <si>
    <t>HIA.</t>
  </si>
  <si>
    <t>HMINA POдHBWHXсA</t>
  </si>
  <si>
    <t>Zrakis, nala, wryectio u. Šamnaia poдHTMEŇ, H Kakor</t>
  </si>
  <si>
    <t>Bkρoncпoz⭑AAHIA.</t>
  </si>
  <si>
    <t>F</t>
  </si>
  <si>
    <t>GEMALE</t>
  </si>
  <si>
    <t>3BAHII, HALA, OTYICTKO. | $amımía</t>
  </si>
  <si>
    <t>BOCTOÍEMNHKOEZ.</t>
  </si>
  <si>
    <t>RTO COREAшAAB TAHNCTBO</t>
  </si>
  <si>
    <t>KOILUEHIA</t>
  </si>
  <si>
    <t>Fr. James Parsells</t>
  </si>
  <si>
    <t>Daria (Barsigian)</t>
  </si>
  <si>
    <t>Paul Loukiznoff</t>
  </si>
  <si>
    <t>Janet Mihalick</t>
  </si>
  <si>
    <t>Archpriest John Nehrebecki</t>
  </si>
  <si>
    <t>George</t>
  </si>
  <si>
    <t>Zvonchenko</t>
  </si>
  <si>
    <t>Marie (Scarinzi)</t>
  </si>
  <si>
    <t>Robert Zabielski Mary Zvonchenko</t>
  </si>
  <si>
    <t>Priest Jnes Parsello</t>
  </si>
  <si>
    <t>7/26/9/3 Peter Pausells</t>
  </si>
  <si>
    <t>Sorevville, N.J.</t>
  </si>
  <si>
    <t>19/27</t>
  </si>
  <si>
    <t>Tanya (Tatiane)</t>
  </si>
  <si>
    <t>Marie Zvonchenko</t>
  </si>
  <si>
    <t>Somerville, N.J.</t>
  </si>
  <si>
    <t>KERQUEPKY85-TAVRIATRY</t>
  </si>
  <si>
    <t>¡HETTH¶SCKOŇ KHUTH NA</t>
  </si>
  <si>
    <t>1942, TACT NSPHAM, O POZUKUHNCA.</t>
  </si>
  <si>
    <t>Gurtz poдHB</t>
  </si>
  <si>
    <t>MECAUZ</t>
  </si>
  <si>
    <t>ПмнA ρодHвшнXCA</t>
  </si>
  <si>
    <t>M</t>
  </si>
  <si>
    <t>XALE</t>
  </si>
  <si>
    <t>3BAHÏE, HMA, WTчICTio n. anal poдNтÉÉй, и KAKOгo</t>
  </si>
  <si>
    <t>3BaHis, HALA, STYICTKO. || $AMIMÍA</t>
  </si>
  <si>
    <t>B'kponenos⭑AAHIA.</t>
  </si>
  <si>
    <t>3, S1 Timothy</t>
  </si>
  <si>
    <t>IS</t>
  </si>
  <si>
    <t>Larissa</t>
  </si>
  <si>
    <t>Peter Gorbetuk, Susan Binkowski</t>
  </si>
  <si>
    <t>Frederick Gorbatur</t>
  </si>
  <si>
    <t>Claire</t>
  </si>
  <si>
    <t>Gorbetuk</t>
  </si>
  <si>
    <t>"</t>
  </si>
  <si>
    <t>12 Somerville</t>
  </si>
  <si>
    <t>Michzel Fetchko, Cavol Lynn Mayver</t>
  </si>
  <si>
    <t>Helen</t>
  </si>
  <si>
    <t>Russo</t>
  </si>
  <si>
    <t>RTO COREAшANS TAHNCTBO</t>
  </si>
  <si>
    <t>KOOLIEHIA..</t>
  </si>
  <si>
    <t>Fr. Jana Parsells</t>
  </si>
  <si>
    <t>F.. Jas Parall</t>
  </si>
  <si>
    <t>PART 1 BAPTISMS</t>
  </si>
  <si>
    <t>- 1950-</t>
  </si>
  <si>
    <t>PARISH RECORD</t>
  </si>
  <si>
    <t>NO 31250</t>
  </si>
  <si>
    <t>ann</t>
  </si>
  <si>
    <t>Marie</t>
  </si>
  <si>
    <t>NAME OF PARENTS</t>
  </si>
  <si>
    <t>AND.</t>
  </si>
  <si>
    <t>ADDRESS</t>
  </si>
  <si>
    <t>John</t>
  </si>
  <si>
    <t>Macinko</t>
  </si>
  <si>
    <t>HER'S NAME)</t>
  </si>
  <si>
    <t>Chabra</t>
  </si>
  <si>
    <t>(MOTHER'S NAME)</t>
  </si>
  <si>
    <t>8th</t>
  </si>
  <si>
    <t>ave</t>
  </si>
  <si>
    <t>(NUMBER AND STREET, CITY, STATE)</t>
  </si>
  <si>
    <t>Manville, n.g</t>
  </si>
  <si>
    <t>DATE OF BIRTH</t>
  </si>
  <si>
    <t>November</t>
  </si>
  <si>
    <t>(CITY)</t>
  </si>
  <si>
    <t>Joh</t>
  </si>
  <si>
    <t>30, 1950</t>
  </si>
  <si>
    <t>DATE OF BAPTISM AND</t>
  </si>
  <si>
    <t>CONFIRMATION</t>
  </si>
  <si>
    <t>AT</t>
  </si>
  <si>
    <t>Dec. 17, 1950</t>
  </si>
  <si>
    <t>Paul</t>
  </si>
  <si>
    <t>St. Peter</t>
  </si>
  <si>
    <t>PLACE OF BIRTH</t>
  </si>
  <si>
    <t>GOD PARENTS</t>
  </si>
  <si>
    <t>+</t>
  </si>
  <si>
    <t>(CHURCH)</t>
  </si>
  <si>
    <t>mille, n.2</t>
  </si>
  <si>
    <t>SACRAMENTS PERFORMED BY</t>
  </si>
  <si>
    <t>(STATE)</t>
  </si>
  <si>
    <t>Olah</t>
  </si>
  <si>
    <t>Holovack</t>
  </si>
  <si>
    <t>Rees. Nicholas Furyluk</t>
  </si>
  <si>
    <t>Nor. - 1950</t>
  </si>
  <si>
    <t>RECTOR</t>
  </si>
  <si>
    <t>NO 31243</t>
  </si>
  <si>
    <t>Robert</t>
  </si>
  <si>
    <t>Villam</t>
  </si>
  <si>
    <t>(FATHER'S NAME)</t>
  </si>
  <si>
    <t>Zydiak</t>
  </si>
  <si>
    <t>Jones</t>
  </si>
  <si>
    <t>Mary Jane</t>
  </si>
  <si>
    <t>Kate Lave</t>
  </si>
  <si>
    <t>meutcher, ng</t>
  </si>
  <si>
    <t>Ment</t>
  </si>
  <si>
    <t>AT.</t>
  </si>
  <si>
    <t>St. Peter &amp; Paul</t>
  </si>
  <si>
    <t>GOD PARENTS.</t>
  </si>
  <si>
    <t>Lynchburg,</t>
  </si>
  <si>
    <t>Anha</t>
  </si>
  <si>
    <t>Va</t>
  </si>
  <si>
    <t>Paulda</t>
  </si>
  <si>
    <t>Rev. Nicholas Krylick</t>
  </si>
  <si>
    <t>PARISH RECORD NO 31249</t>
  </si>
  <si>
    <t>James</t>
  </si>
  <si>
    <t>Andrew Garlick</t>
  </si>
  <si>
    <t>Mary Patson</t>
  </si>
  <si>
    <t>ADDRESS 137 Davenport St.</t>
  </si>
  <si>
    <t>October 27,</t>
  </si>
  <si>
    <t>No 31244</t>
  </si>
  <si>
    <t>Shestakoff</t>
  </si>
  <si>
    <t>Lutionette</t>
  </si>
  <si>
    <t>Virgilanite</t>
  </si>
  <si>
    <t>RFD #1</t>
  </si>
  <si>
    <t>(NUMBER AND STREET. CITY, STATE)</t>
  </si>
  <si>
    <t>Pittstown,</t>
  </si>
  <si>
    <t>GOD PARENTS,</t>
  </si>
  <si>
    <t>Manville, n.</t>
  </si>
  <si>
    <t>Paul Patson.</t>
  </si>
  <si>
    <t>Helen Patson</t>
  </si>
  <si>
    <t>Rev. Nicholas J. Juryluk</t>
  </si>
  <si>
    <t>July</t>
  </si>
  <si>
    <t>n.</t>
  </si>
  <si>
    <t>aug.</t>
  </si>
  <si>
    <t>26. 1960</t>
  </si>
  <si>
    <t>Phelipaturg, n.J.</t>
  </si>
  <si>
    <t>(STATE</t>
  </si>
  <si>
    <t>GOD PARENTS Michael Shertaloff.</t>
  </si>
  <si>
    <t>Virginia</t>
  </si>
  <si>
    <t>brousky</t>
  </si>
  <si>
    <t>Rev. Richlan</t>
  </si>
  <si>
    <t>te</t>
  </si>
  <si>
    <t>Thiryluk</t>
  </si>
  <si>
    <t>Database Field</t>
  </si>
  <si>
    <t>Ledger Anchor (Image 1)</t>
  </si>
  <si>
    <t>Card Anchor (Image 3)</t>
  </si>
  <si>
    <t>Extraction Logic</t>
  </si>
  <si>
    <t>"NAME OF CHILD"</t>
  </si>
  <si>
    <t>Text below/beside label</t>
  </si>
  <si>
    <t>"BIRTH" (under Dates)</t>
  </si>
  <si>
    <t>"DATE OF BIRTH"</t>
  </si>
  <si>
    <r>
      <t xml:space="preserve">Find date pattern </t>
    </r>
    <r>
      <rPr>
        <sz val="10"/>
        <color rgb="FF444746"/>
        <rFont val="Google Sans Text"/>
        <family val="2"/>
      </rPr>
      <t>MM/DD/YYYY</t>
    </r>
  </si>
  <si>
    <t>"BAPTISM" (under Dates)</t>
  </si>
  <si>
    <t>"DATE OF BAPTISM"</t>
  </si>
  <si>
    <t>"CITY OF BIRTH"</t>
  </si>
  <si>
    <t>"PLACE OF BIRTH"</t>
  </si>
  <si>
    <t>(Hardcode: "Baptism")</t>
  </si>
  <si>
    <t>"PART I - BAPTISMS"</t>
  </si>
  <si>
    <t>Constant for these records</t>
  </si>
  <si>
    <t>"FULL NAMES OF SPONSORS"</t>
  </si>
  <si>
    <t>"NAMES OF SPONSORS"</t>
  </si>
  <si>
    <t>Text in the same column/row</t>
  </si>
  <si>
    <t>"FATHER'S FULL NAME"</t>
  </si>
  <si>
    <t>"NAME OF PARENTS"</t>
  </si>
  <si>
    <t>Look for "Father" &amp; "Mother"</t>
  </si>
  <si>
    <t>"PRIEST'S NAME"</t>
  </si>
  <si>
    <t>"SACRAMENTS PERFORMED BY"</t>
  </si>
  <si>
    <t>Text in the final column/section</t>
  </si>
  <si>
    <t>original filename</t>
  </si>
  <si>
    <t>church_id-template</t>
  </si>
  <si>
    <t>IMG_2024_10_18_11_14_37S.jpg</t>
  </si>
  <si>
    <t>date uploaded</t>
  </si>
  <si>
    <t>baptism</t>
  </si>
  <si>
    <t>uploaded</t>
  </si>
  <si>
    <t>pre-processed</t>
  </si>
  <si>
    <t>P1</t>
  </si>
  <si>
    <t>P5</t>
  </si>
  <si>
    <t>P3</t>
  </si>
  <si>
    <t>ready/pending</t>
  </si>
  <si>
    <t>IMG.jpg</t>
  </si>
  <si>
    <t>test.png</t>
  </si>
  <si>
    <t>Phase 1 - image uploads / pre-processing</t>
  </si>
  <si>
    <t>1.jpg</t>
  </si>
  <si>
    <t>marriage</t>
  </si>
  <si>
    <t>funeral</t>
  </si>
  <si>
    <t>P2</t>
  </si>
  <si>
    <t>P4</t>
  </si>
  <si>
    <t>Phase 2 - que / processed - to make it to Phase 2 the image must have been uploaded, identified</t>
  </si>
  <si>
    <t>status (uploaded, pre-processed, identified, ready/pending</t>
  </si>
  <si>
    <t>identified</t>
  </si>
  <si>
    <t>image priorities can be set at the church level to provide quicker turnaround times (default priorty is 4 - low)</t>
  </si>
  <si>
    <t>priority only applies to images in  Phase 1 and Phase 2</t>
  </si>
  <si>
    <t>filenames update based on the image status</t>
  </si>
  <si>
    <t xml:space="preserve">filesnames are automatically updated as the status changes (every file will go through two name changes) </t>
  </si>
  <si>
    <t>Phase 3 - processed / reviewed - to make it to Phase 3 the image must have completed Phase 1 and Phase 2</t>
  </si>
  <si>
    <t>quick record identification</t>
  </si>
  <si>
    <t>filename</t>
  </si>
  <si>
    <t>image-status</t>
  </si>
  <si>
    <t>this phase contains image files that are ready for review using the om-ocr magic tools</t>
  </si>
  <si>
    <t>entry count (a rough estimate of records found)</t>
  </si>
  <si>
    <t>phase</t>
  </si>
  <si>
    <t>46-b-1</t>
  </si>
  <si>
    <t>46-m2</t>
  </si>
  <si>
    <t>46-m3</t>
  </si>
  <si>
    <t>46-f3</t>
  </si>
  <si>
    <t>record type (baptism, marriage, funeral)</t>
  </si>
  <si>
    <t>baptism or b</t>
  </si>
  <si>
    <t>marriage or m</t>
  </si>
  <si>
    <t>funeral or f</t>
  </si>
  <si>
    <t>pre-46-baptism1-2024-12-20.png</t>
  </si>
  <si>
    <t>pre-46-marriage2-2023-05-04.png</t>
  </si>
  <si>
    <t>pre-46-marriage3-2023-12-20.png</t>
  </si>
  <si>
    <t>pre-46-funeral3-2026-12-20.png</t>
  </si>
  <si>
    <t>pro-46-b1-2024-12-29.png</t>
  </si>
  <si>
    <t>pro-46-f3-2027-01-19</t>
  </si>
  <si>
    <t>46-funeral3</t>
  </si>
  <si>
    <t>46-marriage3</t>
  </si>
  <si>
    <t>46-marriage2</t>
  </si>
  <si>
    <t>46-baptism1</t>
  </si>
  <si>
    <t>46-baptism2</t>
  </si>
  <si>
    <t>pro-46-m2-2023-05-09.png</t>
  </si>
  <si>
    <t>P0</t>
  </si>
  <si>
    <t>phase 1-6</t>
  </si>
  <si>
    <t>files assigned a P6 will automatically go through all phases again</t>
  </si>
  <si>
    <t xml:space="preserve">if the original image is available, </t>
  </si>
  <si>
    <t>PRIORITY 1-5</t>
  </si>
  <si>
    <t>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</si>
</sst>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rgb="FF2A3547"/>
      <name val="Consolas"/>
      <family val="3"/>
    </font>
    <font>
      <sz val="14"/>
      <color theme="1"/>
      <name val="Aptos Narrow"/>
      <family val="2"/>
      <scheme val="minor"/>
    </font>
    <font>
      <sz val="14"/>
      <color rgb="FF2A3547"/>
      <name val="Consolas"/>
      <family val="3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9"/>
      <color rgb="FF2A354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1" fillId="2" borderId="0" xfId="0" applyFont="1" applyFill="1"/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/>
    </xf>
    <xf numFmtId="15" fontId="0" fillId="0" borderId="0" xfId="0" applyNumberFormat="1"/>
    <xf numFmtId="0" fontId="6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8" fillId="0" borderId="0" xfId="0" applyFont="1" applyAlignment="1">
      <alignment horizontal="left" vertical="center"/>
    </xf>
    <xf numFmtId="14" fontId="0" fillId="0" borderId="0" xfId="0" applyNumberFormat="1" applyAlignment="1">
      <alignment horizontal="left" wrapText="1"/>
    </xf>
    <xf numFmtId="0" fontId="0" fillId="3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3BA60-21DF-45F0-BD55-41DD7E34E52D}">
  <dimension ref="A1:D47"/>
  <sheetViews>
    <sheetView topLeftCell="A7" workbookViewId="0">
      <selection activeCell="A15" sqref="A15"/>
    </sheetView>
  </sheetViews>
  <sheetFormatPr defaultRowHeight="14.5"/>
  <cols>
    <col min="1" max="1" width="74.81640625" style="3" bestFit="1" customWidth="1"/>
    <col min="2" max="2" width="42.453125" customWidth="1"/>
    <col min="3" max="3" width="47.81640625" customWidth="1"/>
    <col min="4" max="4" width="60.1796875" bestFit="1" customWidth="1"/>
  </cols>
  <sheetData>
    <row r="1" spans="1:4" ht="18.5">
      <c r="A1" s="6" t="s">
        <v>0</v>
      </c>
      <c r="B1" s="9" t="s">
        <v>44</v>
      </c>
    </row>
    <row r="2" spans="1:4" ht="18">
      <c r="A2" s="7" t="s">
        <v>1</v>
      </c>
      <c r="B2" t="s">
        <v>45</v>
      </c>
      <c r="C2" t="s">
        <v>54</v>
      </c>
      <c r="D2" s="7" t="s">
        <v>19</v>
      </c>
    </row>
    <row r="3" spans="1:4" ht="18">
      <c r="A3" s="7" t="s">
        <v>2</v>
      </c>
      <c r="B3" t="s">
        <v>46</v>
      </c>
      <c r="C3" t="s">
        <v>55</v>
      </c>
      <c r="D3" s="7" t="s">
        <v>29</v>
      </c>
    </row>
    <row r="4" spans="1:4" ht="18">
      <c r="A4" s="7" t="s">
        <v>3</v>
      </c>
      <c r="B4" t="s">
        <v>47</v>
      </c>
      <c r="C4" s="10">
        <v>31569</v>
      </c>
    </row>
    <row r="5" spans="1:4" ht="18">
      <c r="A5" s="7" t="s">
        <v>4</v>
      </c>
      <c r="B5" t="s">
        <v>48</v>
      </c>
      <c r="C5" s="11">
        <v>31613</v>
      </c>
    </row>
    <row r="6" spans="1:4" ht="18">
      <c r="A6" s="8" t="s">
        <v>60</v>
      </c>
      <c r="B6" t="s">
        <v>49</v>
      </c>
      <c r="C6" t="s">
        <v>56</v>
      </c>
      <c r="D6" s="7" t="s">
        <v>20</v>
      </c>
    </row>
    <row r="7" spans="1:4" ht="18">
      <c r="A7" s="7" t="s">
        <v>6</v>
      </c>
      <c r="B7" t="s">
        <v>50</v>
      </c>
      <c r="C7" t="s">
        <v>57</v>
      </c>
    </row>
    <row r="8" spans="1:4" ht="18">
      <c r="A8" s="7" t="s">
        <v>7</v>
      </c>
      <c r="B8" t="s">
        <v>51</v>
      </c>
      <c r="C8" t="s">
        <v>58</v>
      </c>
      <c r="D8" s="7" t="s">
        <v>34</v>
      </c>
    </row>
    <row r="9" spans="1:4" ht="18">
      <c r="A9" s="7" t="e" cm="1">
        <f t="array" ref="A9">-DYSKOD</f>
        <v>#NAME?</v>
      </c>
      <c r="B9" t="s">
        <v>52</v>
      </c>
      <c r="C9" t="s">
        <v>61</v>
      </c>
      <c r="D9" t="s">
        <v>62</v>
      </c>
    </row>
    <row r="10" spans="1:4" ht="18">
      <c r="A10" s="7" t="s">
        <v>9</v>
      </c>
      <c r="B10" t="s">
        <v>53</v>
      </c>
      <c r="C10" t="s">
        <v>59</v>
      </c>
      <c r="D10" s="7" t="s">
        <v>63</v>
      </c>
    </row>
    <row r="11" spans="1:4" ht="18">
      <c r="A11" s="7" t="s">
        <v>10</v>
      </c>
    </row>
    <row r="12" spans="1:4" ht="18">
      <c r="A12" s="7" t="s">
        <v>11</v>
      </c>
    </row>
    <row r="13" spans="1:4" ht="18">
      <c r="A13" s="7" t="s">
        <v>12</v>
      </c>
    </row>
    <row r="14" spans="1:4" ht="18">
      <c r="A14" s="7" t="s">
        <v>13</v>
      </c>
    </row>
    <row r="15" spans="1:4" ht="18">
      <c r="A15" s="7" t="s">
        <v>14</v>
      </c>
    </row>
    <row r="16" spans="1:4" ht="18">
      <c r="A16" s="7" t="s">
        <v>15</v>
      </c>
    </row>
    <row r="17" spans="1:1" ht="18">
      <c r="A17" s="7" t="s">
        <v>16</v>
      </c>
    </row>
    <row r="18" spans="1:1" ht="18">
      <c r="A18" s="7" t="s">
        <v>17</v>
      </c>
    </row>
    <row r="19" spans="1:1" ht="18">
      <c r="A19" s="7" t="s">
        <v>18</v>
      </c>
    </row>
    <row r="20" spans="1:1" ht="18">
      <c r="A20" s="7" t="s">
        <v>19</v>
      </c>
    </row>
    <row r="21" spans="1:1" ht="18">
      <c r="A21" s="7" t="s">
        <v>20</v>
      </c>
    </row>
    <row r="22" spans="1:1" ht="18">
      <c r="A22" s="7">
        <v>6</v>
      </c>
    </row>
    <row r="23" spans="1:1" ht="18">
      <c r="A23" s="7">
        <v>20</v>
      </c>
    </row>
    <row r="24" spans="1:1" ht="18">
      <c r="A24" s="7" t="s">
        <v>21</v>
      </c>
    </row>
    <row r="25" spans="1:1" ht="18">
      <c r="A25" s="7" t="s">
        <v>22</v>
      </c>
    </row>
    <row r="26" spans="1:1" ht="18">
      <c r="A26" s="7" t="s">
        <v>23</v>
      </c>
    </row>
    <row r="27" spans="1:1" ht="18">
      <c r="A27" s="7" t="s">
        <v>24</v>
      </c>
    </row>
    <row r="28" spans="1:1" ht="18">
      <c r="A28" s="7" t="s">
        <v>25</v>
      </c>
    </row>
    <row r="29" spans="1:1" ht="18">
      <c r="A29" s="7" t="s">
        <v>26</v>
      </c>
    </row>
    <row r="30" spans="1:1" ht="18">
      <c r="A30" s="7" t="s">
        <v>27</v>
      </c>
    </row>
    <row r="31" spans="1:1" ht="18">
      <c r="A31" s="7" t="s">
        <v>28</v>
      </c>
    </row>
    <row r="32" spans="1:1" ht="18">
      <c r="A32" s="7" t="s">
        <v>29</v>
      </c>
    </row>
    <row r="33" spans="1:1" ht="18">
      <c r="A33" s="7" t="s">
        <v>30</v>
      </c>
    </row>
    <row r="34" spans="1:1" ht="18">
      <c r="A34" s="7" t="s">
        <v>31</v>
      </c>
    </row>
    <row r="35" spans="1:1" ht="18">
      <c r="A35" s="7" t="s">
        <v>32</v>
      </c>
    </row>
    <row r="36" spans="1:1" ht="18">
      <c r="A36" s="7" t="s">
        <v>33</v>
      </c>
    </row>
    <row r="37" spans="1:1" ht="18">
      <c r="A37" s="7" t="s">
        <v>34</v>
      </c>
    </row>
    <row r="38" spans="1:1" ht="18">
      <c r="A38" s="7" t="s">
        <v>35</v>
      </c>
    </row>
    <row r="39" spans="1:1" ht="18">
      <c r="A39" s="7" t="s">
        <v>36</v>
      </c>
    </row>
    <row r="40" spans="1:1" ht="18">
      <c r="A40" s="7" t="s">
        <v>37</v>
      </c>
    </row>
    <row r="41" spans="1:1" ht="18">
      <c r="A41" s="7" t="s">
        <v>38</v>
      </c>
    </row>
    <row r="42" spans="1:1" ht="18">
      <c r="A42" s="7" t="s">
        <v>39</v>
      </c>
    </row>
    <row r="43" spans="1:1" ht="18">
      <c r="A43" s="7" t="s">
        <v>40</v>
      </c>
    </row>
    <row r="44" spans="1:1" ht="18">
      <c r="A44" s="7" t="s">
        <v>41</v>
      </c>
    </row>
    <row r="45" spans="1:1" ht="18">
      <c r="A45" s="7" t="s">
        <v>42</v>
      </c>
    </row>
    <row r="46" spans="1:1" ht="18">
      <c r="A46" s="7" t="s">
        <v>43</v>
      </c>
    </row>
    <row r="47" spans="1:1">
      <c r="A4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8AE6-A419-4E3F-AE81-056A4FB866AD}">
  <dimension ref="A1:D10"/>
  <sheetViews>
    <sheetView workbookViewId="0">
      <selection activeCell="F1" sqref="F1"/>
    </sheetView>
  </sheetViews>
  <sheetFormatPr defaultRowHeight="14.5"/>
  <cols>
    <col min="1" max="1" width="28.81640625" customWidth="1"/>
    <col min="2" max="2" width="31.54296875" customWidth="1"/>
    <col min="3" max="3" width="24.1796875" customWidth="1"/>
    <col min="4" max="4" width="45" customWidth="1"/>
  </cols>
  <sheetData>
    <row r="1" spans="1:4" ht="15" thickBot="1">
      <c r="A1" s="13" t="s">
        <v>215</v>
      </c>
      <c r="B1" s="13" t="s">
        <v>216</v>
      </c>
      <c r="C1" s="13" t="s">
        <v>217</v>
      </c>
      <c r="D1" s="13" t="s">
        <v>218</v>
      </c>
    </row>
    <row r="2" spans="1:4" ht="15" thickBot="1">
      <c r="A2" s="13" t="s">
        <v>45</v>
      </c>
      <c r="B2" s="14" t="s">
        <v>219</v>
      </c>
      <c r="C2" s="14" t="s">
        <v>219</v>
      </c>
      <c r="D2" s="14" t="s">
        <v>220</v>
      </c>
    </row>
    <row r="3" spans="1:4" ht="15" thickBot="1">
      <c r="A3" s="13" t="s">
        <v>46</v>
      </c>
      <c r="B3" s="14" t="s">
        <v>219</v>
      </c>
      <c r="C3" s="14" t="s">
        <v>219</v>
      </c>
      <c r="D3" s="14" t="s">
        <v>220</v>
      </c>
    </row>
    <row r="4" spans="1:4" ht="15" thickBot="1">
      <c r="A4" s="13" t="s">
        <v>47</v>
      </c>
      <c r="B4" s="14" t="s">
        <v>221</v>
      </c>
      <c r="C4" s="14" t="s">
        <v>222</v>
      </c>
      <c r="D4" s="14" t="s">
        <v>223</v>
      </c>
    </row>
    <row r="5" spans="1:4" ht="15" thickBot="1">
      <c r="A5" s="13" t="s">
        <v>48</v>
      </c>
      <c r="B5" s="14" t="s">
        <v>224</v>
      </c>
      <c r="C5" s="14" t="s">
        <v>225</v>
      </c>
      <c r="D5" s="14" t="s">
        <v>223</v>
      </c>
    </row>
    <row r="6" spans="1:4" ht="15" thickBot="1">
      <c r="A6" s="13" t="s">
        <v>49</v>
      </c>
      <c r="B6" s="14" t="s">
        <v>226</v>
      </c>
      <c r="C6" s="14" t="s">
        <v>227</v>
      </c>
      <c r="D6" s="14" t="s">
        <v>220</v>
      </c>
    </row>
    <row r="7" spans="1:4" ht="15" thickBot="1">
      <c r="A7" s="13" t="s">
        <v>50</v>
      </c>
      <c r="B7" s="14" t="s">
        <v>228</v>
      </c>
      <c r="C7" s="14" t="s">
        <v>229</v>
      </c>
      <c r="D7" s="14" t="s">
        <v>230</v>
      </c>
    </row>
    <row r="8" spans="1:4" ht="28.5" thickBot="1">
      <c r="A8" s="13" t="s">
        <v>51</v>
      </c>
      <c r="B8" s="14" t="s">
        <v>231</v>
      </c>
      <c r="C8" s="14" t="s">
        <v>232</v>
      </c>
      <c r="D8" s="14" t="s">
        <v>233</v>
      </c>
    </row>
    <row r="9" spans="1:4" ht="15" thickBot="1">
      <c r="A9" s="13" t="s">
        <v>52</v>
      </c>
      <c r="B9" s="14" t="s">
        <v>234</v>
      </c>
      <c r="C9" s="14" t="s">
        <v>235</v>
      </c>
      <c r="D9" s="14" t="s">
        <v>236</v>
      </c>
    </row>
    <row r="10" spans="1:4" ht="28.5" thickBot="1">
      <c r="A10" s="13" t="s">
        <v>53</v>
      </c>
      <c r="B10" s="14" t="s">
        <v>237</v>
      </c>
      <c r="C10" s="14" t="s">
        <v>238</v>
      </c>
      <c r="D10" s="14" t="s">
        <v>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324C5-B4AF-4616-BA4F-F67B30405441}">
  <dimension ref="A2:K36"/>
  <sheetViews>
    <sheetView tabSelected="1" workbookViewId="0">
      <selection activeCell="I7" sqref="I7"/>
    </sheetView>
  </sheetViews>
  <sheetFormatPr defaultRowHeight="14.5"/>
  <cols>
    <col min="1" max="1" width="28.453125" bestFit="1" customWidth="1"/>
    <col min="2" max="2" width="28.453125" customWidth="1"/>
    <col min="3" max="3" width="54.1796875" bestFit="1" customWidth="1"/>
    <col min="4" max="4" width="50.1796875" customWidth="1"/>
    <col min="5" max="5" width="43.26953125" bestFit="1" customWidth="1"/>
    <col min="6" max="6" width="30.7265625" customWidth="1"/>
    <col min="7" max="7" width="36.26953125" customWidth="1"/>
    <col min="8" max="8" width="16.6328125" bestFit="1" customWidth="1"/>
    <col min="9" max="9" width="52.81640625" bestFit="1" customWidth="1"/>
    <col min="10" max="10" width="20.453125" customWidth="1"/>
  </cols>
  <sheetData>
    <row r="2" spans="1:11">
      <c r="H2" t="s">
        <v>294</v>
      </c>
      <c r="J2" t="s">
        <v>297</v>
      </c>
    </row>
    <row r="3" spans="1:11">
      <c r="H3" s="18" t="s">
        <v>247</v>
      </c>
    </row>
    <row r="4" spans="1:11">
      <c r="A4" s="17"/>
      <c r="B4" s="17"/>
      <c r="C4" s="17"/>
      <c r="H4" s="18" t="s">
        <v>257</v>
      </c>
      <c r="I4" s="17"/>
      <c r="J4" s="17"/>
      <c r="K4" s="17"/>
    </row>
    <row r="5" spans="1:11">
      <c r="A5" s="17" t="s">
        <v>253</v>
      </c>
      <c r="B5" s="17"/>
      <c r="C5" s="17"/>
      <c r="H5" s="18" t="s">
        <v>249</v>
      </c>
      <c r="I5" s="17"/>
      <c r="J5" s="17"/>
      <c r="K5" s="17"/>
    </row>
    <row r="6" spans="1:11">
      <c r="A6" s="17" t="s">
        <v>262</v>
      </c>
      <c r="B6" s="17"/>
      <c r="C6" s="17"/>
      <c r="H6" s="18" t="s">
        <v>258</v>
      </c>
      <c r="I6" s="17" t="s">
        <v>295</v>
      </c>
      <c r="J6" s="17"/>
      <c r="K6" s="17"/>
    </row>
    <row r="7" spans="1:11">
      <c r="A7" s="17" t="s">
        <v>263</v>
      </c>
      <c r="B7" s="17"/>
      <c r="C7" s="17"/>
      <c r="H7" s="18" t="s">
        <v>248</v>
      </c>
      <c r="I7" s="17" t="s">
        <v>296</v>
      </c>
      <c r="J7" s="17"/>
      <c r="K7" s="17"/>
    </row>
    <row r="8" spans="1:11">
      <c r="A8" s="17" t="s">
        <v>264</v>
      </c>
      <c r="B8" s="17"/>
      <c r="C8" s="17"/>
      <c r="H8" s="18" t="s">
        <v>298</v>
      </c>
    </row>
    <row r="9" spans="1:11">
      <c r="A9" s="17" t="s">
        <v>265</v>
      </c>
      <c r="B9" s="17"/>
      <c r="C9" s="17"/>
    </row>
    <row r="10" spans="1:11">
      <c r="A10" s="17"/>
      <c r="B10" s="17"/>
      <c r="C10" s="17"/>
    </row>
    <row r="11" spans="1:11">
      <c r="A11" t="s">
        <v>240</v>
      </c>
      <c r="B11" t="s">
        <v>243</v>
      </c>
      <c r="C11" t="s">
        <v>260</v>
      </c>
      <c r="D11" t="s">
        <v>268</v>
      </c>
      <c r="E11" t="s">
        <v>277</v>
      </c>
      <c r="F11" t="s">
        <v>241</v>
      </c>
      <c r="G11" t="s">
        <v>272</v>
      </c>
    </row>
    <row r="12" spans="1:11">
      <c r="A12" s="2" t="s">
        <v>242</v>
      </c>
      <c r="B12" s="16">
        <v>46011</v>
      </c>
      <c r="C12" s="2" t="s">
        <v>246</v>
      </c>
      <c r="D12" s="15" t="s">
        <v>281</v>
      </c>
      <c r="E12" t="s">
        <v>278</v>
      </c>
      <c r="F12" s="3" t="s">
        <v>273</v>
      </c>
      <c r="G12" t="s">
        <v>247</v>
      </c>
    </row>
    <row r="13" spans="1:11">
      <c r="A13" s="2" t="s">
        <v>251</v>
      </c>
      <c r="B13" s="16">
        <v>45025</v>
      </c>
      <c r="C13" s="2" t="s">
        <v>246</v>
      </c>
      <c r="D13" s="15" t="s">
        <v>282</v>
      </c>
      <c r="E13" t="s">
        <v>279</v>
      </c>
      <c r="F13" s="3" t="s">
        <v>274</v>
      </c>
      <c r="G13" t="s">
        <v>257</v>
      </c>
    </row>
    <row r="14" spans="1:11">
      <c r="A14" s="2" t="s">
        <v>252</v>
      </c>
      <c r="B14" s="16">
        <v>45981</v>
      </c>
      <c r="C14" t="s">
        <v>245</v>
      </c>
      <c r="D14" s="15" t="s">
        <v>252</v>
      </c>
      <c r="E14" t="s">
        <v>244</v>
      </c>
      <c r="F14" s="3"/>
      <c r="G14" t="s">
        <v>249</v>
      </c>
    </row>
    <row r="15" spans="1:11">
      <c r="A15" s="2" t="s">
        <v>242</v>
      </c>
      <c r="B15" s="16">
        <v>44568</v>
      </c>
      <c r="C15" t="s">
        <v>246</v>
      </c>
      <c r="D15" s="15" t="s">
        <v>283</v>
      </c>
      <c r="E15" t="s">
        <v>255</v>
      </c>
      <c r="F15" s="3" t="s">
        <v>275</v>
      </c>
      <c r="G15" t="s">
        <v>258</v>
      </c>
    </row>
    <row r="16" spans="1:11">
      <c r="A16" s="2" t="s">
        <v>254</v>
      </c>
      <c r="B16" s="16">
        <v>45828</v>
      </c>
      <c r="C16" t="s">
        <v>245</v>
      </c>
      <c r="D16" s="2" t="s">
        <v>254</v>
      </c>
      <c r="E16" t="s">
        <v>280</v>
      </c>
      <c r="F16" s="3"/>
      <c r="G16" t="s">
        <v>248</v>
      </c>
    </row>
    <row r="17" spans="1:8">
      <c r="A17" s="15" t="s">
        <v>284</v>
      </c>
      <c r="B17" s="16">
        <v>45905</v>
      </c>
      <c r="C17" t="s">
        <v>246</v>
      </c>
      <c r="D17" s="15" t="s">
        <v>284</v>
      </c>
      <c r="E17" t="s">
        <v>256</v>
      </c>
      <c r="F17" t="s">
        <v>276</v>
      </c>
      <c r="G17" t="s">
        <v>293</v>
      </c>
    </row>
    <row r="19" spans="1:8">
      <c r="A19" s="17"/>
      <c r="B19" s="17"/>
      <c r="C19" s="17"/>
    </row>
    <row r="20" spans="1:8">
      <c r="A20" s="17" t="s">
        <v>259</v>
      </c>
      <c r="B20" s="17"/>
      <c r="C20" s="17"/>
    </row>
    <row r="21" spans="1:8">
      <c r="A21" s="17" t="s">
        <v>267</v>
      </c>
      <c r="B21" s="17"/>
      <c r="C21" s="17"/>
    </row>
    <row r="22" spans="1:8">
      <c r="A22" s="17"/>
      <c r="B22" s="17"/>
      <c r="C22" s="17"/>
    </row>
    <row r="23" spans="1:8">
      <c r="A23" t="s">
        <v>240</v>
      </c>
      <c r="B23" t="s">
        <v>243</v>
      </c>
      <c r="C23" t="s">
        <v>260</v>
      </c>
      <c r="D23" t="s">
        <v>268</v>
      </c>
      <c r="E23" t="s">
        <v>271</v>
      </c>
      <c r="F23" t="s">
        <v>269</v>
      </c>
      <c r="G23" t="s">
        <v>272</v>
      </c>
    </row>
    <row r="24" spans="1:8">
      <c r="A24" s="15" t="s">
        <v>281</v>
      </c>
      <c r="B24" s="16">
        <v>46011</v>
      </c>
      <c r="C24" s="2" t="s">
        <v>250</v>
      </c>
      <c r="D24" s="15" t="s">
        <v>285</v>
      </c>
      <c r="E24" t="s">
        <v>244</v>
      </c>
      <c r="F24" s="3" t="s">
        <v>290</v>
      </c>
      <c r="G24" t="s">
        <v>247</v>
      </c>
      <c r="H24">
        <v>4</v>
      </c>
    </row>
    <row r="25" spans="1:8">
      <c r="A25" s="15" t="s">
        <v>282</v>
      </c>
      <c r="B25" s="16">
        <v>46001</v>
      </c>
      <c r="C25" t="s">
        <v>261</v>
      </c>
      <c r="D25" s="15" t="s">
        <v>292</v>
      </c>
      <c r="E25" t="s">
        <v>255</v>
      </c>
      <c r="F25" s="3" t="s">
        <v>289</v>
      </c>
      <c r="G25" t="s">
        <v>257</v>
      </c>
      <c r="H25">
        <v>4</v>
      </c>
    </row>
    <row r="26" spans="1:8">
      <c r="A26" s="15" t="s">
        <v>252</v>
      </c>
      <c r="B26" s="16">
        <v>45981</v>
      </c>
      <c r="C26" t="s">
        <v>245</v>
      </c>
      <c r="D26" s="15"/>
      <c r="E26" t="s">
        <v>244</v>
      </c>
      <c r="F26" s="3" t="s">
        <v>291</v>
      </c>
      <c r="G26" t="s">
        <v>248</v>
      </c>
      <c r="H26">
        <v>4</v>
      </c>
    </row>
    <row r="27" spans="1:8">
      <c r="A27" s="15" t="s">
        <v>283</v>
      </c>
      <c r="B27" s="16">
        <v>44568</v>
      </c>
      <c r="C27" t="s">
        <v>246</v>
      </c>
      <c r="D27" s="15"/>
      <c r="E27" t="s">
        <v>255</v>
      </c>
      <c r="F27" s="3" t="s">
        <v>288</v>
      </c>
      <c r="G27" t="s">
        <v>258</v>
      </c>
      <c r="H27">
        <v>3</v>
      </c>
    </row>
    <row r="28" spans="1:8">
      <c r="A28" s="2" t="s">
        <v>254</v>
      </c>
      <c r="B28" s="16">
        <v>45828</v>
      </c>
      <c r="C28" t="s">
        <v>245</v>
      </c>
      <c r="D28" s="15"/>
      <c r="E28" t="s">
        <v>256</v>
      </c>
      <c r="F28" s="3" t="s">
        <v>287</v>
      </c>
      <c r="G28" t="s">
        <v>249</v>
      </c>
      <c r="H28">
        <v>2</v>
      </c>
    </row>
    <row r="29" spans="1:8">
      <c r="A29" s="15" t="s">
        <v>284</v>
      </c>
      <c r="B29" s="16">
        <v>45905</v>
      </c>
      <c r="C29" t="s">
        <v>246</v>
      </c>
      <c r="D29" s="15" t="s">
        <v>286</v>
      </c>
      <c r="E29" t="s">
        <v>256</v>
      </c>
      <c r="F29" t="s">
        <v>287</v>
      </c>
      <c r="G29" t="s">
        <v>247</v>
      </c>
      <c r="H29">
        <v>1</v>
      </c>
    </row>
    <row r="33" spans="1:3">
      <c r="A33" s="17"/>
      <c r="B33" s="17"/>
      <c r="C33" s="17"/>
    </row>
    <row r="34" spans="1:3">
      <c r="A34" s="17" t="s">
        <v>266</v>
      </c>
      <c r="B34" s="17"/>
      <c r="C34" s="17"/>
    </row>
    <row r="35" spans="1:3">
      <c r="A35" s="17" t="s">
        <v>270</v>
      </c>
      <c r="B35" s="17"/>
      <c r="C35" s="17"/>
    </row>
    <row r="36" spans="1:3">
      <c r="A36" s="17"/>
      <c r="B36" s="17"/>
      <c r="C36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59A8A-7CEE-49B1-BC79-4E9C98EBC245}">
  <dimension ref="A1:A153"/>
  <sheetViews>
    <sheetView topLeftCell="A105" workbookViewId="0">
      <selection sqref="A1:A153"/>
    </sheetView>
  </sheetViews>
  <sheetFormatPr defaultRowHeight="14.5"/>
  <cols>
    <col min="1" max="1" width="38.1796875" customWidth="1"/>
  </cols>
  <sheetData>
    <row r="1" spans="1:1">
      <c r="A1" t="s">
        <v>126</v>
      </c>
    </row>
    <row r="2" spans="1:1">
      <c r="A2" t="s">
        <v>16</v>
      </c>
    </row>
    <row r="3" spans="1:1">
      <c r="A3" t="s">
        <v>127</v>
      </c>
    </row>
    <row r="4" spans="1:1">
      <c r="A4" t="s">
        <v>126</v>
      </c>
    </row>
    <row r="5" spans="1:1">
      <c r="A5" t="s">
        <v>128</v>
      </c>
    </row>
    <row r="6" spans="1:1">
      <c r="A6" t="s">
        <v>128</v>
      </c>
    </row>
    <row r="7" spans="1:1">
      <c r="A7" t="s">
        <v>129</v>
      </c>
    </row>
    <row r="8" spans="1:1">
      <c r="A8" t="s">
        <v>19</v>
      </c>
    </row>
    <row r="9" spans="1:1">
      <c r="A9" t="s">
        <v>19</v>
      </c>
    </row>
    <row r="10" spans="1:1">
      <c r="A10" t="s">
        <v>130</v>
      </c>
    </row>
    <row r="11" spans="1:1">
      <c r="A11" t="s">
        <v>131</v>
      </c>
    </row>
    <row r="12" spans="1:1">
      <c r="A12" t="s">
        <v>132</v>
      </c>
    </row>
    <row r="13" spans="1:1">
      <c r="A13" t="s">
        <v>133</v>
      </c>
    </row>
    <row r="14" spans="1:1">
      <c r="A14" t="s">
        <v>120</v>
      </c>
    </row>
    <row r="15" spans="1:1">
      <c r="A15" t="s">
        <v>134</v>
      </c>
    </row>
    <row r="16" spans="1:1">
      <c r="A16" t="s">
        <v>135</v>
      </c>
    </row>
    <row r="17" spans="1:1">
      <c r="A17" t="s">
        <v>136</v>
      </c>
    </row>
    <row r="18" spans="1:1">
      <c r="A18" t="s">
        <v>137</v>
      </c>
    </row>
    <row r="19" spans="1:1">
      <c r="A19" t="s">
        <v>138</v>
      </c>
    </row>
    <row r="20" spans="1:1">
      <c r="A20" t="s">
        <v>139</v>
      </c>
    </row>
    <row r="21" spans="1:1">
      <c r="A21" t="s">
        <v>140</v>
      </c>
    </row>
    <row r="22" spans="1:1">
      <c r="A22" t="s">
        <v>141</v>
      </c>
    </row>
    <row r="23" spans="1:1">
      <c r="A23" t="s">
        <v>142</v>
      </c>
    </row>
    <row r="24" spans="1:1">
      <c r="A24" t="s">
        <v>143</v>
      </c>
    </row>
    <row r="25" spans="1:1">
      <c r="A25" t="s">
        <v>144</v>
      </c>
    </row>
    <row r="26" spans="1:1">
      <c r="A26" t="s">
        <v>145</v>
      </c>
    </row>
    <row r="27" spans="1:1">
      <c r="A27" t="s">
        <v>146</v>
      </c>
    </row>
    <row r="28" spans="1:1">
      <c r="A28" t="s">
        <v>147</v>
      </c>
    </row>
    <row r="29" spans="1:1">
      <c r="A29" t="s">
        <v>148</v>
      </c>
    </row>
    <row r="30" spans="1:1">
      <c r="A30" t="s">
        <v>149</v>
      </c>
    </row>
    <row r="31" spans="1:1">
      <c r="A31" t="s">
        <v>150</v>
      </c>
    </row>
    <row r="32" spans="1:1">
      <c r="A32" t="s">
        <v>151</v>
      </c>
    </row>
    <row r="33" spans="1:1">
      <c r="A33" t="s">
        <v>152</v>
      </c>
    </row>
    <row r="34" spans="1:1">
      <c r="A34" t="s">
        <v>153</v>
      </c>
    </row>
    <row r="35" spans="1:1">
      <c r="A35" t="s">
        <v>154</v>
      </c>
    </row>
    <row r="36" spans="1:1">
      <c r="A36" t="s">
        <v>155</v>
      </c>
    </row>
    <row r="37" spans="1:1">
      <c r="A37" t="s">
        <v>156</v>
      </c>
    </row>
    <row r="38" spans="1:1">
      <c r="A38" t="s">
        <v>157</v>
      </c>
    </row>
    <row r="39" spans="1:1">
      <c r="A39" t="s">
        <v>158</v>
      </c>
    </row>
    <row r="40" spans="1:1">
      <c r="A40" t="s">
        <v>159</v>
      </c>
    </row>
    <row r="41" spans="1:1">
      <c r="A41" t="s">
        <v>160</v>
      </c>
    </row>
    <row r="42" spans="1:1">
      <c r="A42" t="s">
        <v>161</v>
      </c>
    </row>
    <row r="43" spans="1:1">
      <c r="A43" t="s">
        <v>162</v>
      </c>
    </row>
    <row r="44" spans="1:1">
      <c r="A44" t="s">
        <v>163</v>
      </c>
    </row>
    <row r="45" spans="1:1">
      <c r="A45" t="s">
        <v>164</v>
      </c>
    </row>
    <row r="46" spans="1:1">
      <c r="A46" t="s">
        <v>165</v>
      </c>
    </row>
    <row r="47" spans="1:1">
      <c r="A47" t="s">
        <v>126</v>
      </c>
    </row>
    <row r="48" spans="1:1">
      <c r="A48" t="s">
        <v>166</v>
      </c>
    </row>
    <row r="49" spans="1:1">
      <c r="A49" t="s">
        <v>132</v>
      </c>
    </row>
    <row r="50" spans="1:1">
      <c r="A50" t="s">
        <v>133</v>
      </c>
    </row>
    <row r="51" spans="1:1">
      <c r="A51" t="s">
        <v>134</v>
      </c>
    </row>
    <row r="52" spans="1:1">
      <c r="A52" t="s">
        <v>167</v>
      </c>
    </row>
    <row r="53" spans="1:1">
      <c r="A53" t="s">
        <v>168</v>
      </c>
    </row>
    <row r="54" spans="1:1">
      <c r="A54" t="s">
        <v>169</v>
      </c>
    </row>
    <row r="55" spans="1:1">
      <c r="A55" t="s">
        <v>170</v>
      </c>
    </row>
    <row r="56" spans="1:1">
      <c r="A56" t="s">
        <v>171</v>
      </c>
    </row>
    <row r="57" spans="1:1">
      <c r="A57" t="s">
        <v>172</v>
      </c>
    </row>
    <row r="58" spans="1:1">
      <c r="A58" t="s">
        <v>173</v>
      </c>
    </row>
    <row r="59" spans="1:1">
      <c r="A59">
        <v>25</v>
      </c>
    </row>
    <row r="60" spans="1:1">
      <c r="A60" t="s">
        <v>139</v>
      </c>
    </row>
    <row r="61" spans="1:1">
      <c r="A61" t="s">
        <v>174</v>
      </c>
    </row>
    <row r="62" spans="1:1">
      <c r="A62" t="s">
        <v>142</v>
      </c>
    </row>
    <row r="63" spans="1:1">
      <c r="A63" t="s">
        <v>175</v>
      </c>
    </row>
    <row r="64" spans="1:1">
      <c r="A64" t="s">
        <v>176</v>
      </c>
    </row>
    <row r="65" spans="1:1">
      <c r="A65" t="s">
        <v>144</v>
      </c>
    </row>
    <row r="66" spans="1:1">
      <c r="A66" s="12">
        <v>18333</v>
      </c>
    </row>
    <row r="67" spans="1:1">
      <c r="A67" t="s">
        <v>149</v>
      </c>
    </row>
    <row r="68" spans="1:1">
      <c r="A68" t="s">
        <v>150</v>
      </c>
    </row>
    <row r="69" spans="1:1">
      <c r="A69" t="s">
        <v>177</v>
      </c>
    </row>
    <row r="70" spans="1:1">
      <c r="A70" s="12">
        <v>18487</v>
      </c>
    </row>
    <row r="71" spans="1:1">
      <c r="A71" t="s">
        <v>178</v>
      </c>
    </row>
    <row r="72" spans="1:1">
      <c r="A72" t="s">
        <v>155</v>
      </c>
    </row>
    <row r="73" spans="1:1">
      <c r="A73" t="s">
        <v>179</v>
      </c>
    </row>
    <row r="74" spans="1:1">
      <c r="A74" t="s">
        <v>158</v>
      </c>
    </row>
    <row r="75" spans="1:1">
      <c r="A75" t="s">
        <v>180</v>
      </c>
    </row>
    <row r="76" spans="1:1">
      <c r="A76" t="s">
        <v>181</v>
      </c>
    </row>
    <row r="77" spans="1:1">
      <c r="A77" t="s">
        <v>182</v>
      </c>
    </row>
    <row r="78" spans="1:1">
      <c r="A78" t="s">
        <v>161</v>
      </c>
    </row>
    <row r="79" spans="1:1">
      <c r="A79" t="s">
        <v>171</v>
      </c>
    </row>
    <row r="80" spans="1:1">
      <c r="A80" t="s">
        <v>183</v>
      </c>
    </row>
    <row r="81" spans="1:1">
      <c r="A81" t="s">
        <v>160</v>
      </c>
    </row>
    <row r="82" spans="1:1">
      <c r="A82" t="s">
        <v>184</v>
      </c>
    </row>
    <row r="83" spans="1:1">
      <c r="A83" t="s">
        <v>166</v>
      </c>
    </row>
    <row r="84" spans="1:1">
      <c r="A84" t="s">
        <v>126</v>
      </c>
    </row>
    <row r="85" spans="1:1">
      <c r="A85" t="s">
        <v>185</v>
      </c>
    </row>
    <row r="86" spans="1:1">
      <c r="A86" t="s">
        <v>19</v>
      </c>
    </row>
    <row r="87" spans="1:1">
      <c r="A87" t="s">
        <v>132</v>
      </c>
    </row>
    <row r="88" spans="1:1">
      <c r="A88" t="s">
        <v>133</v>
      </c>
    </row>
    <row r="89" spans="1:1">
      <c r="A89" t="s">
        <v>186</v>
      </c>
    </row>
    <row r="90" spans="1:1">
      <c r="A90" t="s">
        <v>187</v>
      </c>
    </row>
    <row r="91" spans="1:1">
      <c r="A91" t="s">
        <v>170</v>
      </c>
    </row>
    <row r="92" spans="1:1">
      <c r="A92" t="s">
        <v>188</v>
      </c>
    </row>
    <row r="93" spans="1:1">
      <c r="A93" t="s">
        <v>139</v>
      </c>
    </row>
    <row r="94" spans="1:1">
      <c r="A94" t="s">
        <v>189</v>
      </c>
    </row>
    <row r="95" spans="1:1">
      <c r="A95" t="s">
        <v>22</v>
      </c>
    </row>
    <row r="96" spans="1:1">
      <c r="A96" t="s">
        <v>144</v>
      </c>
    </row>
    <row r="97" spans="1:1">
      <c r="A97" t="s">
        <v>190</v>
      </c>
    </row>
    <row r="98" spans="1:1">
      <c r="A98" t="s">
        <v>149</v>
      </c>
    </row>
    <row r="99" spans="1:1">
      <c r="A99" t="s">
        <v>150</v>
      </c>
    </row>
    <row r="100" spans="1:1">
      <c r="A100" t="s">
        <v>177</v>
      </c>
    </row>
    <row r="101" spans="1:1">
      <c r="A101" t="s">
        <v>128</v>
      </c>
    </row>
    <row r="102" spans="1:1">
      <c r="A102" t="s">
        <v>191</v>
      </c>
    </row>
    <row r="103" spans="1:1">
      <c r="A103" t="s">
        <v>19</v>
      </c>
    </row>
    <row r="104" spans="1:1">
      <c r="A104" t="s">
        <v>132</v>
      </c>
    </row>
    <row r="105" spans="1:1">
      <c r="A105" t="s">
        <v>133</v>
      </c>
    </row>
    <row r="106" spans="1:1">
      <c r="A106" t="s">
        <v>134</v>
      </c>
    </row>
    <row r="107" spans="1:1">
      <c r="A107" t="s">
        <v>192</v>
      </c>
    </row>
    <row r="108" spans="1:1">
      <c r="A108" t="s">
        <v>170</v>
      </c>
    </row>
    <row r="109" spans="1:1">
      <c r="A109" t="s">
        <v>193</v>
      </c>
    </row>
    <row r="110" spans="1:1">
      <c r="A110" t="s">
        <v>194</v>
      </c>
    </row>
    <row r="111" spans="1:1">
      <c r="A111" t="s">
        <v>139</v>
      </c>
    </row>
    <row r="112" spans="1:1">
      <c r="A112" t="s">
        <v>195</v>
      </c>
    </row>
    <row r="113" spans="1:1">
      <c r="A113" t="s">
        <v>196</v>
      </c>
    </row>
    <row r="114" spans="1:1">
      <c r="A114" t="s">
        <v>197</v>
      </c>
    </row>
    <row r="115" spans="1:1">
      <c r="A115">
        <v>1950</v>
      </c>
    </row>
    <row r="116" spans="1:1">
      <c r="A116" t="s">
        <v>144</v>
      </c>
    </row>
    <row r="117" spans="1:1">
      <c r="A117" s="12">
        <v>18585</v>
      </c>
    </row>
    <row r="118" spans="1:1">
      <c r="A118" t="s">
        <v>153</v>
      </c>
    </row>
    <row r="119" spans="1:1">
      <c r="A119" t="s">
        <v>154</v>
      </c>
    </row>
    <row r="120" spans="1:1">
      <c r="A120" t="s">
        <v>155</v>
      </c>
    </row>
    <row r="121" spans="1:1">
      <c r="A121" t="s">
        <v>198</v>
      </c>
    </row>
    <row r="122" spans="1:1">
      <c r="A122" t="s">
        <v>158</v>
      </c>
    </row>
    <row r="123" spans="1:1">
      <c r="A123" t="s">
        <v>16</v>
      </c>
    </row>
    <row r="124" spans="1:1">
      <c r="A124" t="s">
        <v>199</v>
      </c>
    </row>
    <row r="125" spans="1:1">
      <c r="A125" t="s">
        <v>146</v>
      </c>
    </row>
    <row r="126" spans="1:1">
      <c r="A126" t="s">
        <v>200</v>
      </c>
    </row>
    <row r="127" spans="1:1">
      <c r="A127" t="s">
        <v>201</v>
      </c>
    </row>
    <row r="128" spans="1:1">
      <c r="A128" t="s">
        <v>160</v>
      </c>
    </row>
    <row r="129" spans="1:1">
      <c r="A129" t="s">
        <v>202</v>
      </c>
    </row>
    <row r="130" spans="1:1">
      <c r="A130" t="s">
        <v>166</v>
      </c>
    </row>
    <row r="131" spans="1:1">
      <c r="A131" t="s">
        <v>203</v>
      </c>
    </row>
    <row r="132" spans="1:1">
      <c r="A132" t="s">
        <v>149</v>
      </c>
    </row>
    <row r="133" spans="1:1">
      <c r="A133" t="s">
        <v>150</v>
      </c>
    </row>
    <row r="134" spans="1:1">
      <c r="A134" t="s">
        <v>177</v>
      </c>
    </row>
    <row r="135" spans="1:1">
      <c r="A135" t="s">
        <v>204</v>
      </c>
    </row>
    <row r="136" spans="1:1">
      <c r="A136">
        <v>15</v>
      </c>
    </row>
    <row r="137" spans="1:1">
      <c r="A137" t="s">
        <v>205</v>
      </c>
    </row>
    <row r="138" spans="1:1">
      <c r="A138">
        <v>1950</v>
      </c>
    </row>
    <row r="139" spans="1:1">
      <c r="A139" t="s">
        <v>206</v>
      </c>
    </row>
    <row r="140" spans="1:1">
      <c r="A140" t="s">
        <v>178</v>
      </c>
    </row>
    <row r="141" spans="1:1">
      <c r="A141" t="s">
        <v>155</v>
      </c>
    </row>
    <row r="142" spans="1:1">
      <c r="A142" t="s">
        <v>158</v>
      </c>
    </row>
    <row r="143" spans="1:1">
      <c r="A143" t="s">
        <v>207</v>
      </c>
    </row>
    <row r="144" spans="1:1">
      <c r="A144" t="s">
        <v>146</v>
      </c>
    </row>
    <row r="145" spans="1:1">
      <c r="A145" t="s">
        <v>208</v>
      </c>
    </row>
    <row r="146" spans="1:1">
      <c r="A146" t="s">
        <v>209</v>
      </c>
    </row>
    <row r="147" spans="1:1">
      <c r="A147" t="s">
        <v>210</v>
      </c>
    </row>
    <row r="148" spans="1:1">
      <c r="A148" t="s">
        <v>160</v>
      </c>
    </row>
    <row r="149" spans="1:1">
      <c r="A149" t="s">
        <v>211</v>
      </c>
    </row>
    <row r="150" spans="1:1">
      <c r="A150" t="s">
        <v>212</v>
      </c>
    </row>
    <row r="151" spans="1:1">
      <c r="A151" t="s">
        <v>213</v>
      </c>
    </row>
    <row r="152" spans="1:1">
      <c r="A152" t="s">
        <v>214</v>
      </c>
    </row>
    <row r="153" spans="1:1">
      <c r="A153" t="s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05C72-56E5-433D-A946-26476114FD93}">
  <dimension ref="A1:C58"/>
  <sheetViews>
    <sheetView workbookViewId="0">
      <selection sqref="A1:A46"/>
    </sheetView>
  </sheetViews>
  <sheetFormatPr defaultRowHeight="14.5"/>
  <cols>
    <col min="1" max="1" width="57.453125" style="3" customWidth="1"/>
    <col min="2" max="2" width="56.7265625" style="3" customWidth="1"/>
    <col min="3" max="3" width="47.26953125" style="3" customWidth="1"/>
    <col min="4" max="4" width="37.54296875" customWidth="1"/>
  </cols>
  <sheetData>
    <row r="1" spans="1:3">
      <c r="A1" s="3" t="s">
        <v>0</v>
      </c>
      <c r="B1" s="3" t="s">
        <v>23</v>
      </c>
      <c r="C1" s="4" t="s">
        <v>99</v>
      </c>
    </row>
    <row r="2" spans="1:3">
      <c r="A2" s="3" t="s">
        <v>1</v>
      </c>
      <c r="B2" s="3" t="s">
        <v>64</v>
      </c>
      <c r="C2" s="4" t="s">
        <v>23</v>
      </c>
    </row>
    <row r="3" spans="1:3">
      <c r="A3" s="3" t="s">
        <v>2</v>
      </c>
      <c r="B3" s="3" t="s">
        <v>65</v>
      </c>
      <c r="C3" s="4" t="s">
        <v>100</v>
      </c>
    </row>
    <row r="4" spans="1:3">
      <c r="A4" s="3" t="s">
        <v>3</v>
      </c>
      <c r="B4" s="3">
        <v>1980</v>
      </c>
      <c r="C4" s="4">
        <v>83</v>
      </c>
    </row>
    <row r="5" spans="1:3">
      <c r="A5" s="3" t="s">
        <v>4</v>
      </c>
      <c r="B5" s="3" t="s">
        <v>66</v>
      </c>
      <c r="C5" s="4" t="s">
        <v>65</v>
      </c>
    </row>
    <row r="6" spans="1:3">
      <c r="A6" s="3" t="s">
        <v>60</v>
      </c>
      <c r="B6" s="3" t="s">
        <v>67</v>
      </c>
      <c r="C6" s="4" t="s">
        <v>101</v>
      </c>
    </row>
    <row r="7" spans="1:3">
      <c r="A7" s="3" t="s">
        <v>6</v>
      </c>
      <c r="B7" s="3" t="s">
        <v>68</v>
      </c>
      <c r="C7" s="4" t="s">
        <v>102</v>
      </c>
    </row>
    <row r="8" spans="1:3">
      <c r="A8" s="3" t="s">
        <v>7</v>
      </c>
      <c r="B8" s="3" t="s">
        <v>2</v>
      </c>
      <c r="C8" s="4" t="s">
        <v>103</v>
      </c>
    </row>
    <row r="9" spans="1:3">
      <c r="A9" s="3" t="e">
        <v>#NAME?</v>
      </c>
      <c r="B9" s="3" t="s">
        <v>69</v>
      </c>
      <c r="C9" s="4" t="s">
        <v>2</v>
      </c>
    </row>
    <row r="10" spans="1:3">
      <c r="A10" s="3" t="s">
        <v>9</v>
      </c>
      <c r="B10" s="3" t="s">
        <v>70</v>
      </c>
      <c r="C10" s="4" t="s">
        <v>3</v>
      </c>
    </row>
    <row r="11" spans="1:3">
      <c r="A11" s="3" t="s">
        <v>10</v>
      </c>
      <c r="B11" s="3" t="e" cm="1">
        <f t="array" ref="B11">-YSKOO</f>
        <v>#NAME?</v>
      </c>
      <c r="C11" s="4" t="s">
        <v>104</v>
      </c>
    </row>
    <row r="12" spans="1:3">
      <c r="A12" s="3" t="s">
        <v>11</v>
      </c>
      <c r="B12" s="3" t="s">
        <v>9</v>
      </c>
      <c r="C12" s="4" t="s">
        <v>13</v>
      </c>
    </row>
    <row r="13" spans="1:3">
      <c r="A13" s="3" t="s">
        <v>12</v>
      </c>
      <c r="B13" s="3" t="s">
        <v>71</v>
      </c>
      <c r="C13" s="4" t="s">
        <v>14</v>
      </c>
    </row>
    <row r="14" spans="1:3">
      <c r="A14" s="3" t="s">
        <v>13</v>
      </c>
      <c r="B14" s="3" t="s">
        <v>72</v>
      </c>
      <c r="C14" s="4" t="s">
        <v>105</v>
      </c>
    </row>
    <row r="15" spans="1:3">
      <c r="A15" s="3" t="s">
        <v>14</v>
      </c>
      <c r="B15" s="3" t="s">
        <v>10</v>
      </c>
      <c r="C15" s="4" t="s">
        <v>106</v>
      </c>
    </row>
    <row r="16" spans="1:3">
      <c r="A16" s="3" t="s">
        <v>15</v>
      </c>
      <c r="B16" s="3" t="s">
        <v>11</v>
      </c>
      <c r="C16" s="4" t="s">
        <v>16</v>
      </c>
    </row>
    <row r="17" spans="1:3">
      <c r="A17" s="3" t="s">
        <v>16</v>
      </c>
      <c r="B17" s="3" t="s">
        <v>73</v>
      </c>
      <c r="C17" s="4" t="s">
        <v>16</v>
      </c>
    </row>
    <row r="18" spans="1:3">
      <c r="A18" s="3" t="s">
        <v>17</v>
      </c>
      <c r="B18" s="3" t="s">
        <v>74</v>
      </c>
      <c r="C18" s="4" t="s">
        <v>15</v>
      </c>
    </row>
    <row r="19" spans="1:3">
      <c r="A19" s="3" t="s">
        <v>18</v>
      </c>
      <c r="B19" s="3" t="s">
        <v>75</v>
      </c>
      <c r="C19" s="4" t="s">
        <v>17</v>
      </c>
    </row>
    <row r="20" spans="1:3">
      <c r="A20" s="3" t="s">
        <v>19</v>
      </c>
      <c r="B20" s="3" t="s">
        <v>76</v>
      </c>
      <c r="C20" s="4" t="s">
        <v>18</v>
      </c>
    </row>
    <row r="21" spans="1:3">
      <c r="A21" s="3" t="s">
        <v>20</v>
      </c>
      <c r="B21" s="3" t="s">
        <v>13</v>
      </c>
      <c r="C21" s="4" t="s">
        <v>107</v>
      </c>
    </row>
    <row r="22" spans="1:3">
      <c r="A22" s="3">
        <v>6</v>
      </c>
      <c r="B22" s="3" t="s">
        <v>77</v>
      </c>
      <c r="C22" s="4" t="s">
        <v>108</v>
      </c>
    </row>
    <row r="23" spans="1:3">
      <c r="A23" s="3">
        <v>20</v>
      </c>
      <c r="B23" s="3" t="s">
        <v>6</v>
      </c>
      <c r="C23" s="4" t="s">
        <v>80</v>
      </c>
    </row>
    <row r="24" spans="1:3">
      <c r="A24" s="3" t="s">
        <v>21</v>
      </c>
      <c r="B24" s="3" t="s">
        <v>16</v>
      </c>
      <c r="C24" s="4" t="s">
        <v>109</v>
      </c>
    </row>
    <row r="25" spans="1:3">
      <c r="A25" s="3" t="s">
        <v>22</v>
      </c>
      <c r="B25" s="3" t="s">
        <v>78</v>
      </c>
      <c r="C25" s="4" t="s">
        <v>19</v>
      </c>
    </row>
    <row r="26" spans="1:3">
      <c r="A26" s="3" t="s">
        <v>23</v>
      </c>
      <c r="B26" s="3" t="s">
        <v>16</v>
      </c>
      <c r="C26" s="4" t="s">
        <v>20</v>
      </c>
    </row>
    <row r="27" spans="1:3">
      <c r="A27" s="3" t="s">
        <v>24</v>
      </c>
      <c r="B27" s="3" t="s">
        <v>29</v>
      </c>
      <c r="C27" s="4" t="s">
        <v>29</v>
      </c>
    </row>
    <row r="28" spans="1:3">
      <c r="A28" s="3" t="s">
        <v>25</v>
      </c>
      <c r="B28" s="3" t="s">
        <v>79</v>
      </c>
      <c r="C28" s="4" t="s">
        <v>34</v>
      </c>
    </row>
    <row r="29" spans="1:3">
      <c r="A29" s="3" t="s">
        <v>26</v>
      </c>
      <c r="B29" s="3" t="s">
        <v>80</v>
      </c>
      <c r="C29" s="4">
        <f>19</f>
        <v>19</v>
      </c>
    </row>
    <row r="30" spans="1:3">
      <c r="A30" s="3" t="s">
        <v>27</v>
      </c>
      <c r="B30" s="3" t="s">
        <v>81</v>
      </c>
      <c r="C30" s="4" t="s">
        <v>110</v>
      </c>
    </row>
    <row r="31" spans="1:3">
      <c r="A31" s="3" t="s">
        <v>28</v>
      </c>
      <c r="B31" s="3" t="s">
        <v>82</v>
      </c>
      <c r="C31" s="4" t="s">
        <v>111</v>
      </c>
    </row>
    <row r="32" spans="1:3">
      <c r="A32" s="3" t="s">
        <v>29</v>
      </c>
      <c r="B32" s="3" t="s">
        <v>34</v>
      </c>
      <c r="C32" s="4" t="s">
        <v>22</v>
      </c>
    </row>
    <row r="33" spans="1:3">
      <c r="A33" s="3" t="s">
        <v>30</v>
      </c>
      <c r="B33" s="3" t="s">
        <v>42</v>
      </c>
      <c r="C33" s="4" t="s">
        <v>112</v>
      </c>
    </row>
    <row r="34" spans="1:3">
      <c r="A34" s="3" t="s">
        <v>31</v>
      </c>
      <c r="B34" s="3" t="s">
        <v>83</v>
      </c>
      <c r="C34" s="4" t="s">
        <v>113</v>
      </c>
    </row>
    <row r="35" spans="1:3">
      <c r="A35" s="3" t="s">
        <v>32</v>
      </c>
      <c r="B35" s="3" t="s">
        <v>84</v>
      </c>
      <c r="C35" s="4" t="s">
        <v>114</v>
      </c>
    </row>
    <row r="36" spans="1:3">
      <c r="A36" s="3" t="s">
        <v>33</v>
      </c>
      <c r="B36" s="3" t="s">
        <v>85</v>
      </c>
      <c r="C36" s="4" t="s">
        <v>115</v>
      </c>
    </row>
    <row r="37" spans="1:3">
      <c r="A37" s="3" t="s">
        <v>34</v>
      </c>
      <c r="B37" s="3" t="s">
        <v>40</v>
      </c>
      <c r="C37" s="4" t="s">
        <v>116</v>
      </c>
    </row>
    <row r="38" spans="1:3">
      <c r="A38" s="3" t="s">
        <v>35</v>
      </c>
      <c r="B38" s="3" t="s">
        <v>86</v>
      </c>
      <c r="C38" s="4" t="s">
        <v>40</v>
      </c>
    </row>
    <row r="39" spans="1:3">
      <c r="A39" s="3" t="s">
        <v>36</v>
      </c>
      <c r="B39" s="3" t="s">
        <v>40</v>
      </c>
      <c r="C39" s="4">
        <v>2</v>
      </c>
    </row>
    <row r="40" spans="1:3">
      <c r="A40" s="3" t="s">
        <v>37</v>
      </c>
      <c r="B40" s="3" t="s">
        <v>87</v>
      </c>
      <c r="C40" s="4">
        <v>9</v>
      </c>
    </row>
    <row r="41" spans="1:3">
      <c r="A41" s="3" t="s">
        <v>38</v>
      </c>
      <c r="B41" s="3" t="s">
        <v>88</v>
      </c>
      <c r="C41" s="4" t="s">
        <v>117</v>
      </c>
    </row>
    <row r="42" spans="1:3">
      <c r="A42" s="3" t="s">
        <v>39</v>
      </c>
      <c r="B42" s="3" t="s">
        <v>89</v>
      </c>
      <c r="C42" s="4">
        <v>10</v>
      </c>
    </row>
    <row r="43" spans="1:3">
      <c r="A43" s="3" t="s">
        <v>40</v>
      </c>
      <c r="B43" s="3" t="s">
        <v>90</v>
      </c>
      <c r="C43" s="4" t="s">
        <v>118</v>
      </c>
    </row>
    <row r="44" spans="1:3">
      <c r="A44" s="3" t="s">
        <v>41</v>
      </c>
      <c r="B44" s="3" t="s">
        <v>91</v>
      </c>
      <c r="C44" s="4" t="s">
        <v>119</v>
      </c>
    </row>
    <row r="45" spans="1:3">
      <c r="A45" s="3" t="s">
        <v>42</v>
      </c>
      <c r="B45" s="3" t="s">
        <v>40</v>
      </c>
      <c r="C45" s="4" t="s">
        <v>120</v>
      </c>
    </row>
    <row r="46" spans="1:3">
      <c r="A46" s="3" t="s">
        <v>43</v>
      </c>
      <c r="B46" s="3" t="s">
        <v>92</v>
      </c>
      <c r="C46" s="4" t="s">
        <v>121</v>
      </c>
    </row>
    <row r="47" spans="1:3">
      <c r="B47" s="3" t="s">
        <v>14</v>
      </c>
      <c r="C47" s="4" t="s">
        <v>40</v>
      </c>
    </row>
    <row r="48" spans="1:3">
      <c r="B48" s="3" t="s">
        <v>17</v>
      </c>
      <c r="C48" s="4" t="s">
        <v>122</v>
      </c>
    </row>
    <row r="49" spans="2:3">
      <c r="B49" s="3" t="s">
        <v>18</v>
      </c>
      <c r="C49" s="4" t="s">
        <v>123</v>
      </c>
    </row>
    <row r="50" spans="2:3">
      <c r="B50" s="3" t="s">
        <v>19</v>
      </c>
      <c r="C50" s="4" t="s">
        <v>42</v>
      </c>
    </row>
    <row r="51" spans="2:3">
      <c r="B51" s="3" t="s">
        <v>20</v>
      </c>
      <c r="C51" s="4" t="s">
        <v>124</v>
      </c>
    </row>
    <row r="52" spans="2:3">
      <c r="B52" s="3" t="s">
        <v>93</v>
      </c>
      <c r="C52" s="4" t="s">
        <v>125</v>
      </c>
    </row>
    <row r="53" spans="2:3">
      <c r="B53" s="3" t="s">
        <v>94</v>
      </c>
    </row>
    <row r="54" spans="2:3">
      <c r="B54" s="3">
        <v>8128</v>
      </c>
    </row>
    <row r="55" spans="2:3">
      <c r="B55" s="3" t="s">
        <v>95</v>
      </c>
    </row>
    <row r="56" spans="2:3">
      <c r="B56" s="3" t="s">
        <v>96</v>
      </c>
    </row>
    <row r="57" spans="2:3">
      <c r="B57" s="3" t="s">
        <v>97</v>
      </c>
    </row>
    <row r="58" spans="2:3">
      <c r="B58" s="3" t="s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50F7-1777-4FBE-A49C-EAB61D3C46A4}">
  <dimension ref="A1:B58"/>
  <sheetViews>
    <sheetView workbookViewId="0">
      <selection activeCell="B1" sqref="B1:B46"/>
    </sheetView>
  </sheetViews>
  <sheetFormatPr defaultRowHeight="14.5"/>
  <cols>
    <col min="1" max="1" width="45.26953125" customWidth="1"/>
    <col min="2" max="2" width="62.54296875" customWidth="1"/>
  </cols>
  <sheetData>
    <row r="1" spans="1:2">
      <c r="A1" t="s">
        <v>23</v>
      </c>
      <c r="B1" s="1" t="s">
        <v>0</v>
      </c>
    </row>
    <row r="2" spans="1:2">
      <c r="A2" t="s">
        <v>64</v>
      </c>
      <c r="B2" s="1" t="s">
        <v>1</v>
      </c>
    </row>
    <row r="3" spans="1:2">
      <c r="A3" t="s">
        <v>65</v>
      </c>
      <c r="B3" s="1" t="s">
        <v>2</v>
      </c>
    </row>
    <row r="4" spans="1:2">
      <c r="A4">
        <v>1980</v>
      </c>
      <c r="B4" s="1" t="s">
        <v>3</v>
      </c>
    </row>
    <row r="5" spans="1:2">
      <c r="A5" t="s">
        <v>66</v>
      </c>
      <c r="B5" s="1" t="s">
        <v>4</v>
      </c>
    </row>
    <row r="6" spans="1:2">
      <c r="A6" t="s">
        <v>67</v>
      </c>
      <c r="B6" s="1" t="s">
        <v>5</v>
      </c>
    </row>
    <row r="7" spans="1:2">
      <c r="A7" t="s">
        <v>68</v>
      </c>
      <c r="B7" s="1" t="s">
        <v>6</v>
      </c>
    </row>
    <row r="8" spans="1:2">
      <c r="A8" t="s">
        <v>2</v>
      </c>
      <c r="B8" s="1" t="s">
        <v>7</v>
      </c>
    </row>
    <row r="9" spans="1:2">
      <c r="A9" t="s">
        <v>69</v>
      </c>
      <c r="B9" s="1" t="s">
        <v>8</v>
      </c>
    </row>
    <row r="10" spans="1:2">
      <c r="A10" t="s">
        <v>70</v>
      </c>
      <c r="B10" s="1" t="s">
        <v>9</v>
      </c>
    </row>
    <row r="11" spans="1:2">
      <c r="A11" t="e" cm="1">
        <f t="array" ref="A11">-YSKOO</f>
        <v>#NAME?</v>
      </c>
      <c r="B11" s="1" t="s">
        <v>10</v>
      </c>
    </row>
    <row r="12" spans="1:2">
      <c r="A12" t="s">
        <v>9</v>
      </c>
      <c r="B12" s="1" t="s">
        <v>11</v>
      </c>
    </row>
    <row r="13" spans="1:2">
      <c r="A13" t="s">
        <v>71</v>
      </c>
      <c r="B13" s="1" t="s">
        <v>12</v>
      </c>
    </row>
    <row r="14" spans="1:2">
      <c r="A14" t="s">
        <v>72</v>
      </c>
      <c r="B14" s="1" t="s">
        <v>13</v>
      </c>
    </row>
    <row r="15" spans="1:2">
      <c r="A15" t="s">
        <v>10</v>
      </c>
      <c r="B15" s="1" t="s">
        <v>14</v>
      </c>
    </row>
    <row r="16" spans="1:2">
      <c r="A16" t="s">
        <v>11</v>
      </c>
      <c r="B16" s="1" t="s">
        <v>15</v>
      </c>
    </row>
    <row r="17" spans="1:2">
      <c r="A17" t="s">
        <v>73</v>
      </c>
      <c r="B17" s="1" t="s">
        <v>16</v>
      </c>
    </row>
    <row r="18" spans="1:2">
      <c r="A18" t="s">
        <v>74</v>
      </c>
      <c r="B18" s="1" t="s">
        <v>17</v>
      </c>
    </row>
    <row r="19" spans="1:2">
      <c r="A19" t="s">
        <v>75</v>
      </c>
      <c r="B19" s="1" t="s">
        <v>18</v>
      </c>
    </row>
    <row r="20" spans="1:2">
      <c r="A20" t="s">
        <v>76</v>
      </c>
      <c r="B20" s="1" t="s">
        <v>19</v>
      </c>
    </row>
    <row r="21" spans="1:2">
      <c r="A21" t="s">
        <v>13</v>
      </c>
      <c r="B21" s="1" t="s">
        <v>20</v>
      </c>
    </row>
    <row r="22" spans="1:2">
      <c r="A22" t="s">
        <v>77</v>
      </c>
      <c r="B22" s="1">
        <v>6</v>
      </c>
    </row>
    <row r="23" spans="1:2">
      <c r="A23" t="s">
        <v>6</v>
      </c>
      <c r="B23" s="1">
        <v>20</v>
      </c>
    </row>
    <row r="24" spans="1:2">
      <c r="A24" t="s">
        <v>16</v>
      </c>
      <c r="B24" s="1" t="s">
        <v>21</v>
      </c>
    </row>
    <row r="25" spans="1:2">
      <c r="A25" t="s">
        <v>78</v>
      </c>
      <c r="B25" s="1" t="s">
        <v>22</v>
      </c>
    </row>
    <row r="26" spans="1:2">
      <c r="A26" t="s">
        <v>16</v>
      </c>
      <c r="B26" s="1" t="s">
        <v>23</v>
      </c>
    </row>
    <row r="27" spans="1:2">
      <c r="A27" t="s">
        <v>29</v>
      </c>
      <c r="B27" s="1" t="s">
        <v>24</v>
      </c>
    </row>
    <row r="28" spans="1:2">
      <c r="A28" t="s">
        <v>79</v>
      </c>
      <c r="B28" s="1" t="s">
        <v>25</v>
      </c>
    </row>
    <row r="29" spans="1:2">
      <c r="A29" t="s">
        <v>80</v>
      </c>
      <c r="B29" s="1" t="s">
        <v>26</v>
      </c>
    </row>
    <row r="30" spans="1:2">
      <c r="A30" t="s">
        <v>81</v>
      </c>
      <c r="B30" s="1" t="s">
        <v>27</v>
      </c>
    </row>
    <row r="31" spans="1:2">
      <c r="A31" t="s">
        <v>82</v>
      </c>
      <c r="B31" s="1" t="s">
        <v>28</v>
      </c>
    </row>
    <row r="32" spans="1:2">
      <c r="A32" t="s">
        <v>34</v>
      </c>
      <c r="B32" s="1" t="s">
        <v>29</v>
      </c>
    </row>
    <row r="33" spans="1:2">
      <c r="A33" t="s">
        <v>42</v>
      </c>
      <c r="B33" s="1" t="s">
        <v>30</v>
      </c>
    </row>
    <row r="34" spans="1:2">
      <c r="A34" t="s">
        <v>83</v>
      </c>
      <c r="B34" s="1" t="s">
        <v>31</v>
      </c>
    </row>
    <row r="35" spans="1:2">
      <c r="A35" t="s">
        <v>84</v>
      </c>
      <c r="B35" s="1" t="s">
        <v>32</v>
      </c>
    </row>
    <row r="36" spans="1:2">
      <c r="A36" t="s">
        <v>85</v>
      </c>
      <c r="B36" s="1" t="s">
        <v>33</v>
      </c>
    </row>
    <row r="37" spans="1:2">
      <c r="A37" t="s">
        <v>40</v>
      </c>
      <c r="B37" s="1" t="s">
        <v>34</v>
      </c>
    </row>
    <row r="38" spans="1:2">
      <c r="A38" t="s">
        <v>86</v>
      </c>
      <c r="B38" s="1" t="s">
        <v>35</v>
      </c>
    </row>
    <row r="39" spans="1:2">
      <c r="A39" t="s">
        <v>40</v>
      </c>
      <c r="B39" s="1" t="s">
        <v>36</v>
      </c>
    </row>
    <row r="40" spans="1:2">
      <c r="A40" t="s">
        <v>87</v>
      </c>
      <c r="B40" s="1" t="s">
        <v>37</v>
      </c>
    </row>
    <row r="41" spans="1:2">
      <c r="A41" t="s">
        <v>88</v>
      </c>
      <c r="B41" s="1" t="s">
        <v>38</v>
      </c>
    </row>
    <row r="42" spans="1:2">
      <c r="A42" t="s">
        <v>89</v>
      </c>
      <c r="B42" s="1" t="s">
        <v>39</v>
      </c>
    </row>
    <row r="43" spans="1:2">
      <c r="A43" t="s">
        <v>90</v>
      </c>
      <c r="B43" s="1" t="s">
        <v>40</v>
      </c>
    </row>
    <row r="44" spans="1:2">
      <c r="A44" t="s">
        <v>91</v>
      </c>
      <c r="B44" s="1" t="s">
        <v>41</v>
      </c>
    </row>
    <row r="45" spans="1:2">
      <c r="A45" t="s">
        <v>40</v>
      </c>
      <c r="B45" s="1" t="s">
        <v>42</v>
      </c>
    </row>
    <row r="46" spans="1:2">
      <c r="A46" t="s">
        <v>92</v>
      </c>
      <c r="B46" s="1" t="s">
        <v>43</v>
      </c>
    </row>
    <row r="47" spans="1:2">
      <c r="A47" t="s">
        <v>14</v>
      </c>
    </row>
    <row r="48" spans="1:2">
      <c r="A48" t="s">
        <v>17</v>
      </c>
    </row>
    <row r="49" spans="1:1">
      <c r="A49" t="s">
        <v>18</v>
      </c>
    </row>
    <row r="50" spans="1:1">
      <c r="A50" t="s">
        <v>19</v>
      </c>
    </row>
    <row r="51" spans="1:1">
      <c r="A51" t="s">
        <v>20</v>
      </c>
    </row>
    <row r="52" spans="1:1">
      <c r="A52" t="s">
        <v>93</v>
      </c>
    </row>
    <row r="53" spans="1:1">
      <c r="A53" t="s">
        <v>94</v>
      </c>
    </row>
    <row r="54" spans="1:1">
      <c r="A54">
        <v>8128</v>
      </c>
    </row>
    <row r="55" spans="1:1">
      <c r="A55" t="s">
        <v>95</v>
      </c>
    </row>
    <row r="56" spans="1:1">
      <c r="A56" t="s">
        <v>96</v>
      </c>
    </row>
    <row r="57" spans="1:1">
      <c r="A57" t="s">
        <v>97</v>
      </c>
    </row>
    <row r="58" spans="1:1">
      <c r="A58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Sheet5</vt:lpstr>
      <vt:lpstr>Sheet6</vt:lpstr>
      <vt:lpstr>Sheet3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Parsells</dc:creator>
  <cp:lastModifiedBy>Nick Parsells</cp:lastModifiedBy>
  <dcterms:created xsi:type="dcterms:W3CDTF">2025-12-20T04:04:30Z</dcterms:created>
  <dcterms:modified xsi:type="dcterms:W3CDTF">2025-12-20T07:36:46Z</dcterms:modified>
</cp:coreProperties>
</file>